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ownloads\pcb\STLink-Debug-Adaptor\electrical_design\"/>
    </mc:Choice>
  </mc:AlternateContent>
  <xr:revisionPtr revIDLastSave="0" documentId="13_ncr:1_{FC7F84C7-10D2-455F-A0F4-BE5A463C30D8}" xr6:coauthVersionLast="47" xr6:coauthVersionMax="47" xr10:uidLastSave="{00000000-0000-0000-0000-000000000000}"/>
  <bookViews>
    <workbookView xWindow="2730" yWindow="3405" windowWidth="21600" windowHeight="11295" xr2:uid="{0DB087E7-7223-437B-8069-21B1D5F0AC0C}"/>
  </bookViews>
  <sheets>
    <sheet name="LED Resistor Cal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L6" i="1" s="1"/>
  <c r="I6" i="1"/>
  <c r="I5" i="1"/>
  <c r="I4" i="1"/>
  <c r="K4" i="1"/>
  <c r="L4" i="1" s="1"/>
  <c r="I7" i="1"/>
  <c r="K7" i="1"/>
  <c r="L7" i="1" s="1"/>
  <c r="K5" i="1"/>
  <c r="L5" i="1" s="1"/>
</calcChain>
</file>

<file path=xl/sharedStrings.xml><?xml version="1.0" encoding="utf-8"?>
<sst xmlns="http://schemas.openxmlformats.org/spreadsheetml/2006/main" count="20" uniqueCount="17">
  <si>
    <t>SMD</t>
  </si>
  <si>
    <t>RED</t>
  </si>
  <si>
    <t>GREEN</t>
  </si>
  <si>
    <t>Indicator</t>
  </si>
  <si>
    <t>R Power</t>
  </si>
  <si>
    <t>Actual Current mA</t>
  </si>
  <si>
    <t>Closest 5%</t>
  </si>
  <si>
    <t>Calculated R Value</t>
  </si>
  <si>
    <t>FWD Current mA Designed</t>
  </si>
  <si>
    <t>FWD Current mA</t>
  </si>
  <si>
    <t>FWD Voltage</t>
  </si>
  <si>
    <t>LED Type</t>
  </si>
  <si>
    <t>LED Color</t>
  </si>
  <si>
    <t>Supply Voltage</t>
  </si>
  <si>
    <t>Purpose</t>
  </si>
  <si>
    <t>YELLOW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</si>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</sst>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114300</xdr:colOff>
      <xdr:row>3</xdr:row>
      <xdr:rowOff>0</xdr:rowOff>
    </xdr:from>
    <xdr:ext cx="1552792" cy="590632"/>
    <xdr:pic>
      <xdr:nvPicPr>
        <xdr:cNvPr id="2" name="Picture 1">
          <a:extLst>
            <a:ext uri="{FF2B5EF4-FFF2-40B4-BE49-F238E27FC236}">
              <a16:creationId xmlns:a16="http://schemas.microsoft.com/office/drawing/2014/main" id="{E9129CF7-A3F1-471C-BFCB-BB3199D92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0" y="676275"/>
          <a:ext cx="1552792" cy="590632"/>
        </a:xfrm>
        <a:prstGeom prst="rect">
          <a:avLst/>
        </a:prstGeom>
      </xdr:spPr>
    </xdr:pic>
    <xdr:clientData/>
  </xdr:oneCellAnchor>
  <xdr:oneCellAnchor>
    <xdr:from>
      <xdr:col>1</xdr:col>
      <xdr:colOff>312254</xdr:colOff>
      <xdr:row>7</xdr:row>
      <xdr:rowOff>90281</xdr:rowOff>
    </xdr:from>
    <xdr:ext cx="5509113" cy="5172797"/>
    <xdr:pic>
      <xdr:nvPicPr>
        <xdr:cNvPr id="3" name="Picture 2">
          <a:extLst>
            <a:ext uri="{FF2B5EF4-FFF2-40B4-BE49-F238E27FC236}">
              <a16:creationId xmlns:a16="http://schemas.microsoft.com/office/drawing/2014/main" id="{ADC5A3A0-A8F1-47FC-AEB1-B6B624980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1854" y="1423781"/>
          <a:ext cx="5509113" cy="5172797"/>
        </a:xfrm>
        <a:prstGeom prst="rect">
          <a:avLst/>
        </a:prstGeom>
      </xdr:spPr>
    </xdr:pic>
    <xdr:clientData/>
  </xdr:oneCellAnchor>
  <xdr:twoCellAnchor editAs="oneCell">
    <xdr:from>
      <xdr:col>10</xdr:col>
      <xdr:colOff>676276</xdr:colOff>
      <xdr:row>9</xdr:row>
      <xdr:rowOff>19050</xdr:rowOff>
    </xdr:from>
    <xdr:to>
      <xdr:col>11</xdr:col>
      <xdr:colOff>119232</xdr:colOff>
      <xdr:row>21</xdr:row>
      <xdr:rowOff>76853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B2BC78-148C-86B4-3BB0-0F3D5D0C6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01" y="1733550"/>
          <a:ext cx="605006" cy="2343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E65C-92B9-4F95-AF2E-8F9D1369F15D}">
  <dimension ref="B3:L7"/>
  <sheetViews>
    <sheetView tabSelected="1" zoomScaleNormal="100" workbookViewId="0">
      <selection activeCell="I14" sqref="I14"/>
    </sheetView>
  </sheetViews>
  <sheetFormatPr defaultRowHeight="15" x14ac:dyDescent="0.25"/>
  <cols>
    <col min="3" max="3" width="14.42578125" bestFit="1" customWidth="1"/>
    <col min="4" max="4" width="8.85546875" bestFit="1" customWidth="1"/>
    <col min="5" max="5" width="9.28515625" bestFit="1" customWidth="1"/>
    <col min="6" max="6" width="12.42578125" bestFit="1" customWidth="1"/>
    <col min="7" max="7" width="16.140625" bestFit="1" customWidth="1"/>
    <col min="8" max="8" width="25.140625" bestFit="1" customWidth="1"/>
    <col min="9" max="9" width="17.7109375" bestFit="1" customWidth="1"/>
    <col min="10" max="10" width="10.42578125" bestFit="1" customWidth="1"/>
    <col min="11" max="11" width="17.42578125" bestFit="1" customWidth="1"/>
  </cols>
  <sheetData>
    <row r="3" spans="2:12" x14ac:dyDescent="0.25">
      <c r="B3" s="6" t="s">
        <v>14</v>
      </c>
      <c r="C3" s="5" t="s">
        <v>13</v>
      </c>
      <c r="D3" s="5" t="s">
        <v>11</v>
      </c>
      <c r="E3" s="5" t="s">
        <v>12</v>
      </c>
      <c r="F3" s="5" t="s">
        <v>10</v>
      </c>
      <c r="G3" s="5" t="s">
        <v>9</v>
      </c>
      <c r="H3" s="5" t="s">
        <v>8</v>
      </c>
      <c r="I3" s="5" t="s">
        <v>7</v>
      </c>
      <c r="J3" s="5" t="s">
        <v>6</v>
      </c>
      <c r="K3" s="5" t="s">
        <v>5</v>
      </c>
      <c r="L3" s="5" t="s">
        <v>4</v>
      </c>
    </row>
    <row r="4" spans="2:12" x14ac:dyDescent="0.25">
      <c r="B4" s="7" t="s">
        <v>3</v>
      </c>
      <c r="C4" s="4">
        <v>5</v>
      </c>
      <c r="D4" s="4" t="s">
        <v>0</v>
      </c>
      <c r="E4" s="4" t="s">
        <v>1</v>
      </c>
      <c r="F4" s="4">
        <v>1.8</v>
      </c>
      <c r="G4" s="4">
        <v>20</v>
      </c>
      <c r="H4" s="4">
        <v>5</v>
      </c>
      <c r="I4" s="3">
        <f t="shared" ref="I4" si="0">(C4-F4)/(H4*10^-3)</f>
        <v>640</v>
      </c>
      <c r="J4" s="1">
        <v>680</v>
      </c>
      <c r="K4" s="2">
        <f t="shared" ref="K4" si="1">(C4-F4)/J4*10^3</f>
        <v>4.7058823529411766</v>
      </c>
      <c r="L4" s="1">
        <f t="shared" ref="L4" si="2">(C4-F4)*K4*10^-3</f>
        <v>1.5058823529411767E-2</v>
      </c>
    </row>
    <row r="5" spans="2:12" x14ac:dyDescent="0.25">
      <c r="B5" s="7"/>
      <c r="C5" s="4">
        <v>5</v>
      </c>
      <c r="D5" s="4" t="s">
        <v>0</v>
      </c>
      <c r="E5" s="4" t="s">
        <v>2</v>
      </c>
      <c r="F5" s="4">
        <v>1.8</v>
      </c>
      <c r="G5" s="4">
        <v>20</v>
      </c>
      <c r="H5" s="4">
        <v>5</v>
      </c>
      <c r="I5" s="3">
        <f>(C5-F5)/(H5*10^-3)</f>
        <v>640</v>
      </c>
      <c r="J5" s="1">
        <v>680</v>
      </c>
      <c r="K5" s="2">
        <f>(C5-F5)/J5*10^3</f>
        <v>4.7058823529411766</v>
      </c>
      <c r="L5" s="1">
        <f>(C5-F5)*K5*10^-3</f>
        <v>1.5058823529411767E-2</v>
      </c>
    </row>
    <row r="6" spans="2:12" x14ac:dyDescent="0.25">
      <c r="B6" s="7"/>
      <c r="C6" s="4">
        <v>5</v>
      </c>
      <c r="D6" s="4" t="s">
        <v>0</v>
      </c>
      <c r="E6" s="4" t="s">
        <v>15</v>
      </c>
      <c r="F6" s="4">
        <v>1.8</v>
      </c>
      <c r="G6" s="4">
        <v>20</v>
      </c>
      <c r="H6" s="4">
        <v>5</v>
      </c>
      <c r="I6" s="3">
        <f t="shared" ref="I6" si="3">(C6-F6)/(H6*10^-3)</f>
        <v>640</v>
      </c>
      <c r="J6" s="1">
        <v>680</v>
      </c>
      <c r="K6" s="2">
        <f t="shared" ref="K6" si="4">(C6-F6)/J6*10^3</f>
        <v>4.7058823529411766</v>
      </c>
      <c r="L6" s="1">
        <f t="shared" ref="L6" si="5">(C6-F6)*K6*10^-3</f>
        <v>1.5058823529411767E-2</v>
      </c>
    </row>
    <row r="7" spans="2:12" x14ac:dyDescent="0.25">
      <c r="B7" s="7"/>
      <c r="C7" s="4">
        <v>3.3</v>
      </c>
      <c r="D7" s="4" t="s">
        <v>0</v>
      </c>
      <c r="E7" s="4" t="s">
        <v>16</v>
      </c>
      <c r="F7" s="4">
        <v>2.8</v>
      </c>
      <c r="G7" s="4">
        <v>30</v>
      </c>
      <c r="H7" s="4">
        <v>5</v>
      </c>
      <c r="I7" s="3">
        <f>(C7-F7)/(H7*10^-3)</f>
        <v>100</v>
      </c>
      <c r="J7" s="1">
        <v>100</v>
      </c>
      <c r="K7" s="2">
        <f>(C7-F7)/J7*10^3</f>
        <v>5</v>
      </c>
      <c r="L7" s="1">
        <f>(C7-F7)*K7*10^-3</f>
        <v>2.5000000000000001E-3</v>
      </c>
    </row>
  </sheetData>
  <mergeCells count="1">
    <mergeCell ref="B4:B7"/>
  </mergeCells>
  <conditionalFormatting sqref="L4:L7">
    <cfRule type="cellIs" dxfId="0" priority="1" operator="greaterThan">
      <formula>0.25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Resistor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Ashish Agrahari</cp:lastModifiedBy>
  <dcterms:created xsi:type="dcterms:W3CDTF">2023-01-08T19:56:36Z</dcterms:created>
  <dcterms:modified xsi:type="dcterms:W3CDTF">2024-11-29T04:56:20Z</dcterms:modified>
</cp:coreProperties>
</file>